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5E6FF3-7632-4F22-9D05-9AE6D37695F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ubric " sheetId="8" r:id="rId1"/>
    <sheet name="README" sheetId="1" r:id="rId2"/>
    <sheet name="Ratings" sheetId="2" r:id="rId3"/>
    <sheet name="Summary" sheetId="3" r:id="rId4"/>
    <sheet name="Commen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2" l="1"/>
  <c r="P13" i="2"/>
  <c r="O13" i="2"/>
  <c r="N13" i="2"/>
  <c r="M13" i="2"/>
  <c r="L13" i="2"/>
  <c r="G13" i="2"/>
  <c r="P12" i="2"/>
  <c r="O12" i="2"/>
  <c r="N12" i="2"/>
  <c r="M12" i="2"/>
  <c r="L12" i="2"/>
  <c r="G12" i="2"/>
  <c r="Q12" i="2" s="1"/>
  <c r="P11" i="2"/>
  <c r="O11" i="2"/>
  <c r="N11" i="2"/>
  <c r="M11" i="2"/>
  <c r="L11" i="2"/>
  <c r="G11" i="2"/>
  <c r="Q11" i="2" s="1"/>
  <c r="P10" i="2"/>
  <c r="O10" i="2"/>
  <c r="N10" i="2"/>
  <c r="M10" i="2"/>
  <c r="L10" i="2"/>
  <c r="G10" i="2"/>
  <c r="Q10" i="2" s="1"/>
  <c r="Q9" i="2"/>
  <c r="P9" i="2"/>
  <c r="O9" i="2"/>
  <c r="N9" i="2"/>
  <c r="M9" i="2"/>
  <c r="L9" i="2"/>
  <c r="G9" i="2"/>
  <c r="P8" i="2"/>
  <c r="O8" i="2"/>
  <c r="N8" i="2"/>
  <c r="M8" i="2"/>
  <c r="L8" i="2"/>
  <c r="G8" i="2"/>
  <c r="Q8" i="2" s="1"/>
  <c r="P7" i="2"/>
  <c r="O7" i="2"/>
  <c r="N7" i="2"/>
  <c r="M7" i="2"/>
  <c r="L7" i="2"/>
  <c r="G7" i="2"/>
  <c r="Q7" i="2" s="1"/>
  <c r="P6" i="2"/>
  <c r="O6" i="2"/>
  <c r="N6" i="2"/>
  <c r="M6" i="2"/>
  <c r="L6" i="2"/>
  <c r="G6" i="2"/>
  <c r="Q6" i="2" s="1"/>
  <c r="P5" i="2"/>
  <c r="O5" i="2"/>
  <c r="N5" i="2"/>
  <c r="M5" i="2"/>
  <c r="L5" i="2"/>
  <c r="G5" i="2"/>
  <c r="Q5" i="2" s="1"/>
  <c r="Q4" i="2"/>
  <c r="P4" i="2"/>
  <c r="O4" i="2"/>
  <c r="N4" i="2"/>
  <c r="M4" i="2"/>
  <c r="L4" i="2"/>
  <c r="G4" i="2"/>
  <c r="P3" i="2"/>
  <c r="O3" i="2"/>
  <c r="N3" i="2"/>
  <c r="M3" i="2"/>
  <c r="L3" i="2"/>
  <c r="G3" i="2"/>
  <c r="Q3" i="2" s="1"/>
  <c r="P2" i="2"/>
  <c r="O2" i="2"/>
  <c r="N2" i="2"/>
  <c r="M2" i="2"/>
  <c r="L2" i="2"/>
  <c r="G2" i="2"/>
  <c r="Q2" i="2" s="1"/>
</calcChain>
</file>

<file path=xl/sharedStrings.xml><?xml version="1.0" encoding="utf-8"?>
<sst xmlns="http://schemas.openxmlformats.org/spreadsheetml/2006/main" count="191" uniqueCount="132">
  <si>
    <t>LLM-Storyteller Internal Rating Supplement</t>
  </si>
  <si>
    <t>Item</t>
  </si>
  <si>
    <t>Description</t>
  </si>
  <si>
    <t>Study</t>
  </si>
  <si>
    <t>12 simulated storytelling sessions evaluated by two author-raters.</t>
  </si>
  <si>
    <t>Rater 1</t>
  </si>
  <si>
    <t>Rater 2</t>
  </si>
  <si>
    <t>Scale</t>
  </si>
  <si>
    <t>Four dimensions scored from 1 (lowest) to 5 (highest).</t>
  </si>
  <si>
    <t>Agreement</t>
  </si>
  <si>
    <t>Mean absolute deviation (MAD) and linear-weighted Cohen's kappa.</t>
  </si>
  <si>
    <t>Session order</t>
  </si>
  <si>
    <t>S1–S12 follow the paper order and map to the anonymized log IDs in the Ratings sheet.</t>
  </si>
  <si>
    <t>Session</t>
  </si>
  <si>
    <t>Log ID</t>
  </si>
  <si>
    <t>Rater 1 D1</t>
  </si>
  <si>
    <t>Rater 1 D2</t>
  </si>
  <si>
    <t>Rater 1 D3</t>
  </si>
  <si>
    <t>Rater 1 D4</t>
  </si>
  <si>
    <t>Rater 1 Total</t>
  </si>
  <si>
    <t>Rater 2 D1</t>
  </si>
  <si>
    <t>Rater 2 D2</t>
  </si>
  <si>
    <t>Rater 2 D3</t>
  </si>
  <si>
    <t>Rater 2 D4</t>
  </si>
  <si>
    <t>Rater 2 Total</t>
  </si>
  <si>
    <t>Mean D1</t>
  </si>
  <si>
    <t>Mean D2</t>
  </si>
  <si>
    <t>Mean D3</t>
  </si>
  <si>
    <t>Mean D4</t>
  </si>
  <si>
    <t>Mean Total</t>
  </si>
  <si>
    <t>Avg Response Latency (s)</t>
  </si>
  <si>
    <t>Cartoon Generation Time (s)</t>
  </si>
  <si>
    <t>S1</t>
  </si>
  <si>
    <t>2358e8ff</t>
  </si>
  <si>
    <t>S2</t>
  </si>
  <si>
    <t>3bc8538d</t>
  </si>
  <si>
    <t>S3</t>
  </si>
  <si>
    <t>3f588710</t>
  </si>
  <si>
    <t>S4</t>
  </si>
  <si>
    <t>5232fbe7</t>
  </si>
  <si>
    <t>S5</t>
  </si>
  <si>
    <t>53605343</t>
  </si>
  <si>
    <t>S6</t>
  </si>
  <si>
    <t>7cb9af03</t>
  </si>
  <si>
    <t>S7</t>
  </si>
  <si>
    <t>21bcd1ac</t>
  </si>
  <si>
    <t>S8</t>
  </si>
  <si>
    <t>44164e6a</t>
  </si>
  <si>
    <t>S9</t>
  </si>
  <si>
    <t>58bd6a52</t>
  </si>
  <si>
    <t>S10</t>
  </si>
  <si>
    <t>ba2277d0</t>
  </si>
  <si>
    <t>S11</t>
  </si>
  <si>
    <t>d04afae4</t>
  </si>
  <si>
    <t>S12</t>
  </si>
  <si>
    <t>f7b26ca7</t>
  </si>
  <si>
    <t>Verification of Internal Rating Results</t>
  </si>
  <si>
    <t>Dimension</t>
  </si>
  <si>
    <t>Paper Mean</t>
  </si>
  <si>
    <t>Recalculated Mean</t>
  </si>
  <si>
    <t>SD</t>
  </si>
  <si>
    <t>Min–Max</t>
  </si>
  <si>
    <t>MAD</t>
  </si>
  <si>
    <t>Linear-weighted κ</t>
  </si>
  <si>
    <t>Status</t>
  </si>
  <si>
    <t>D1: Follow-up question quality</t>
  </si>
  <si>
    <t>4.0–5.0</t>
  </si>
  <si>
    <t>n/a</t>
  </si>
  <si>
    <t>Matches</t>
  </si>
  <si>
    <t>D2: Story coherence</t>
  </si>
  <si>
    <t>3.0–5.0</t>
  </si>
  <si>
    <t>D3: Image–story alignment</t>
  </si>
  <si>
    <t>1.5–5.0</t>
  </si>
  <si>
    <t>D4: Image quality</t>
  </si>
  <si>
    <t>Session total /20</t>
  </si>
  <si>
    <t>13.5–19.0</t>
  </si>
  <si>
    <t>—</t>
  </si>
  <si>
    <t>Additional check</t>
  </si>
  <si>
    <t>Value</t>
  </si>
  <si>
    <t>Rater 1 mean total /20</t>
  </si>
  <si>
    <t>Rater 2 mean total /20</t>
  </si>
  <si>
    <t>Number of sessions</t>
  </si>
  <si>
    <t>Interpretation note</t>
  </si>
  <si>
    <t>D1 kappa</t>
  </si>
  <si>
    <t>The linear-weighted formula returns 0.00, but Rater 1 used only score 5, so the value is not substantively informative. The paper table's 'n/a' treatment is defensible; the narrative text should not simultaneously report 0.00.</t>
  </si>
  <si>
    <t>Conclusion</t>
  </si>
  <si>
    <t>All numerical values in Table 8 match the raw ratings when linear weights are used for Cohen's weighted kappa.</t>
  </si>
  <si>
    <t>Evaluator observation</t>
  </si>
  <si>
    <t>D3</t>
  </si>
  <si>
    <t>Character appearance changed from one scene to another.</t>
  </si>
  <si>
    <t>The main character was initially a girl, but later changed between a boy and a girl.</t>
  </si>
  <si>
    <t>D2</t>
  </si>
  <si>
    <t>The main character changed to a boy after being introduced as a girl.</t>
  </si>
  <si>
    <t>The magical pen was a major part of the story but did not appear in the images.</t>
  </si>
  <si>
    <t>The main character was a princess, but was replaced by a boy; a later girl did not appear as a princess.</t>
  </si>
  <si>
    <t>The female main character changed during the story.</t>
  </si>
  <si>
    <t>A girl appeared, but she was not represented as a princess.</t>
  </si>
  <si>
    <t>D4</t>
  </si>
  <si>
    <t>The visual style appeared more suitable for teenagers than for children.</t>
  </si>
  <si>
    <t>The scenes were not strongly related to the story.</t>
  </si>
  <si>
    <t>The visual style appeared more suitable for teenagers than for children, likely because of the prompt.</t>
  </si>
  <si>
    <t>Some images showed only the setting even when the characters should have appeared.</t>
  </si>
  <si>
    <t>The main character appeared in only one image.</t>
  </si>
  <si>
    <t>What is rated</t>
  </si>
  <si>
    <t>Score</t>
  </si>
  <si>
    <t>Anchor</t>
  </si>
  <si>
    <t>Does the robot question help the child continue the story, and is it child-friendly and contextually relevant?</t>
  </si>
  <si>
    <t>Perfectly appropriate; directly builds on the child's words.</t>
  </si>
  <si>
    <t>Good but slightly generic.</t>
  </si>
  <si>
    <t>Acceptable; loosely connected.</t>
  </si>
  <si>
    <t>Off-topic or confusing for a child.</t>
  </si>
  <si>
    <t>Makes no sense in context.</t>
  </si>
  <si>
    <t>Does the story make sense across all turns, with context and characters preserved?</t>
  </si>
  <si>
    <t>Flows naturally; characters are consistent and events connect logically.</t>
  </si>
  <si>
    <t>Mostly coherent with minor issues.</t>
  </si>
  <si>
    <t>Some coherence, with occasional context loss.</t>
  </si>
  <si>
    <t>Fragmented; characters shift without reason.</t>
  </si>
  <si>
    <t>No logical connection between turns.</t>
  </si>
  <si>
    <t>Does each generated cartoon image match the scene described in the child's story?</t>
  </si>
  <si>
    <t>Clearly depicts the scene, including characters, setting, and mood.</t>
  </si>
  <si>
    <t>Mostly matches, with minor differences.</t>
  </si>
  <si>
    <t>Partially related but misses key elements.</t>
  </si>
  <si>
    <t>Loosely related to the scene.</t>
  </si>
  <si>
    <t>No connection to the story.</t>
  </si>
  <si>
    <t>Is the image visually appropriate for a child: cartoon-style, bright, clear, and not inappropriate?</t>
  </si>
  <si>
    <t>Clear cartoon style; bright, child-friendly, and high quality.</t>
  </si>
  <si>
    <t>Good quality with minor issues.</t>
  </si>
  <si>
    <t>Acceptable but not strongly cartoon-styled.</t>
  </si>
  <si>
    <t>Poor quality or not appropriate for children.</t>
  </si>
  <si>
    <t>Completely inappropriate or very low quality.</t>
  </si>
  <si>
    <t>Author1</t>
  </si>
  <si>
    <t>Author2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</si>
</sst>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name val="Carlito"/>
    </font>
    <font>
      <sz val="10"/>
      <name val="Aptos"/>
    </font>
    <font>
      <b/>
      <sz val="16"/>
      <color rgb="FFFFFFFF"/>
      <name val="Aptos"/>
    </font>
    <font>
      <b/>
      <sz val="10"/>
      <color rgb="FFFFFFFF"/>
      <name val="Aptos"/>
    </font>
    <font>
      <b/>
      <sz val="15"/>
      <color rgb="FFFFFFFF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Paper vs. Recalculated Mean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Paper Mean</c:v>
          </c:tx>
          <c:invertIfNegative val="1"/>
          <c:cat>
            <c:strRef>
              <c:f>Summary!$A$4:$A$7</c:f>
              <c:strCache>
                <c:ptCount val="4"/>
                <c:pt idx="0">
                  <c:v>D1: Follow-up question quality</c:v>
                </c:pt>
                <c:pt idx="1">
                  <c:v>D2: Story coherence</c:v>
                </c:pt>
                <c:pt idx="2">
                  <c:v>D3: Image–story alignment</c:v>
                </c:pt>
                <c:pt idx="3">
                  <c:v>D4: Image quality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4.42</c:v>
                </c:pt>
                <c:pt idx="1">
                  <c:v>4.17</c:v>
                </c:pt>
                <c:pt idx="2">
                  <c:v>3.54</c:v>
                </c:pt>
                <c:pt idx="3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C-43BB-A8C2-4392F74C5040}"/>
            </c:ext>
          </c:extLst>
        </c:ser>
        <c:ser>
          <c:idx val="1"/>
          <c:order val="1"/>
          <c:tx>
            <c:v>Recalculated Mean</c:v>
          </c:tx>
          <c:invertIfNegative val="1"/>
          <c:cat>
            <c:strRef>
              <c:f>Summary!$A$4:$A$7</c:f>
              <c:strCache>
                <c:ptCount val="4"/>
                <c:pt idx="0">
                  <c:v>D1: Follow-up question quality</c:v>
                </c:pt>
                <c:pt idx="1">
                  <c:v>D2: Story coherence</c:v>
                </c:pt>
                <c:pt idx="2">
                  <c:v>D3: Image–story alignment</c:v>
                </c:pt>
                <c:pt idx="3">
                  <c:v>D4: Image quality</c:v>
                </c:pt>
              </c:strCache>
            </c:strRef>
          </c:cat>
          <c:val>
            <c:numRef>
              <c:f>Summary!$C$4:$C$7</c:f>
              <c:numCache>
                <c:formatCode>General</c:formatCode>
                <c:ptCount val="4"/>
                <c:pt idx="0">
                  <c:v>4.42</c:v>
                </c:pt>
                <c:pt idx="1">
                  <c:v>4.17</c:v>
                </c:pt>
                <c:pt idx="2">
                  <c:v>3.54</c:v>
                </c:pt>
                <c:pt idx="3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C-43BB-A8C2-4392F74C5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A750A1-B641-41C4-BC46-3138EA1C8DFE}" name="RubricTable567" displayName="RubricTable567" ref="A1:D21">
  <tableColumns count="4">
    <tableColumn id="1" xr3:uid="{5C58D4CD-2A09-423A-92F2-49B5F2054FAB}" name="Dimension"/>
    <tableColumn id="2" xr3:uid="{F894B321-328F-4C6C-838E-9221E466CC11}" name="What is rated"/>
    <tableColumn id="3" xr3:uid="{A586D19A-7EAA-438D-8419-2065FD6D22C1}" name="Score"/>
    <tableColumn id="4" xr3:uid="{E7723E36-47A1-4BEB-875C-2D622C5F96C2}" name="Anch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tingsTable" displayName="RatingsTable" ref="A1:S13">
  <tableColumns count="19">
    <tableColumn id="1" xr3:uid="{00000000-0010-0000-0000-000001000000}" name="Session"/>
    <tableColumn id="2" xr3:uid="{00000000-0010-0000-0000-000002000000}" name="Log ID"/>
    <tableColumn id="3" xr3:uid="{00000000-0010-0000-0000-000003000000}" name="Rater 1 D1"/>
    <tableColumn id="4" xr3:uid="{00000000-0010-0000-0000-000004000000}" name="Rater 1 D2"/>
    <tableColumn id="5" xr3:uid="{00000000-0010-0000-0000-000005000000}" name="Rater 1 D3"/>
    <tableColumn id="6" xr3:uid="{00000000-0010-0000-0000-000006000000}" name="Rater 1 D4"/>
    <tableColumn id="7" xr3:uid="{00000000-0010-0000-0000-000007000000}" name="Rater 1 Total"/>
    <tableColumn id="8" xr3:uid="{00000000-0010-0000-0000-000008000000}" name="Rater 2 D1"/>
    <tableColumn id="9" xr3:uid="{00000000-0010-0000-0000-000009000000}" name="Rater 2 D2"/>
    <tableColumn id="10" xr3:uid="{00000000-0010-0000-0000-00000A000000}" name="Rater 2 D3"/>
    <tableColumn id="11" xr3:uid="{00000000-0010-0000-0000-00000B000000}" name="Rater 2 D4"/>
    <tableColumn id="12" xr3:uid="{00000000-0010-0000-0000-00000C000000}" name="Rater 2 Total"/>
    <tableColumn id="13" xr3:uid="{00000000-0010-0000-0000-00000D000000}" name="Mean D1"/>
    <tableColumn id="14" xr3:uid="{00000000-0010-0000-0000-00000E000000}" name="Mean D2"/>
    <tableColumn id="15" xr3:uid="{00000000-0010-0000-0000-00000F000000}" name="Mean D3"/>
    <tableColumn id="16" xr3:uid="{00000000-0010-0000-0000-000010000000}" name="Mean D4"/>
    <tableColumn id="17" xr3:uid="{00000000-0010-0000-0000-000011000000}" name="Mean Total"/>
    <tableColumn id="18" xr3:uid="{00000000-0010-0000-0000-000012000000}" name="Avg Response Latency (s)"/>
    <tableColumn id="19" xr3:uid="{00000000-0010-0000-0000-000013000000}" name="Cartoon Generation Time (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mentsTable" displayName="CommentsTable" ref="A1:D16">
  <tableColumns count="4">
    <tableColumn id="1" xr3:uid="{00000000-0010-0000-0100-000001000000}" name="Session"/>
    <tableColumn id="2" xr3:uid="{00000000-0010-0000-0100-000002000000}" name="Log ID"/>
    <tableColumn id="3" xr3:uid="{00000000-0010-0000-0100-000003000000}" name="Dimension"/>
    <tableColumn id="4" xr3:uid="{00000000-0010-0000-0100-000004000000}" name="Evaluator obser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7962-8967-4923-AEAC-6605ECFB94B0}">
  <dimension ref="A1:Z100"/>
  <sheetViews>
    <sheetView workbookViewId="0"/>
  </sheetViews>
  <sheetFormatPr defaultRowHeight="14"/>
  <cols>
    <col min="1" max="1" width="30" customWidth="1"/>
    <col min="2" max="2" width="60" customWidth="1"/>
    <col min="3" max="3" width="8" customWidth="1"/>
    <col min="4" max="4" width="60" customWidth="1"/>
  </cols>
  <sheetData>
    <row r="1" spans="1:26">
      <c r="A1" s="3" t="s">
        <v>57</v>
      </c>
      <c r="B1" s="3" t="s">
        <v>103</v>
      </c>
      <c r="C1" s="3" t="s">
        <v>104</v>
      </c>
      <c r="D1" s="3" t="s">
        <v>105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">
      <c r="A2" s="4" t="s">
        <v>65</v>
      </c>
      <c r="B2" s="4" t="s">
        <v>106</v>
      </c>
      <c r="C2" s="5">
        <v>5</v>
      </c>
      <c r="D2" s="4" t="s">
        <v>107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/>
      <c r="B3" s="4"/>
      <c r="C3" s="5">
        <v>4</v>
      </c>
      <c r="D3" s="4" t="s">
        <v>108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5">
        <v>3</v>
      </c>
      <c r="D4" s="4" t="s">
        <v>109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/>
      <c r="B5" s="4"/>
      <c r="C5" s="5">
        <v>2</v>
      </c>
      <c r="D5" s="4" t="s">
        <v>110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4"/>
      <c r="C6" s="5">
        <v>1</v>
      </c>
      <c r="D6" s="4" t="s">
        <v>111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">
      <c r="A7" s="4" t="s">
        <v>69</v>
      </c>
      <c r="B7" s="4" t="s">
        <v>112</v>
      </c>
      <c r="C7" s="5">
        <v>5</v>
      </c>
      <c r="D7" s="4" t="s">
        <v>113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5">
        <v>4</v>
      </c>
      <c r="D8" s="4" t="s">
        <v>114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5">
        <v>3</v>
      </c>
      <c r="D9" s="4" t="s">
        <v>115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5">
        <v>2</v>
      </c>
      <c r="D10" s="4" t="s"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5">
        <v>1</v>
      </c>
      <c r="D11" s="4" t="s">
        <v>117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">
      <c r="A12" s="4" t="s">
        <v>71</v>
      </c>
      <c r="B12" s="4" t="s">
        <v>118</v>
      </c>
      <c r="C12" s="5">
        <v>5</v>
      </c>
      <c r="D12" s="4" t="s">
        <v>119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5">
        <v>4</v>
      </c>
      <c r="D13" s="4" t="s">
        <v>120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5">
        <v>3</v>
      </c>
      <c r="D14" s="4" t="s">
        <v>121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5">
        <v>2</v>
      </c>
      <c r="D15" s="4" t="s">
        <v>122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5">
        <v>1</v>
      </c>
      <c r="D16" s="4" t="s">
        <v>123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">
      <c r="A17" s="4" t="s">
        <v>73</v>
      </c>
      <c r="B17" s="4" t="s">
        <v>124</v>
      </c>
      <c r="C17" s="5">
        <v>5</v>
      </c>
      <c r="D17" s="4" t="s">
        <v>125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5">
        <v>4</v>
      </c>
      <c r="D18" s="4" t="s">
        <v>126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5">
        <v>3</v>
      </c>
      <c r="D19" s="4" t="s">
        <v>127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5">
        <v>2</v>
      </c>
      <c r="D20" s="4" t="s">
        <v>128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5">
        <v>1</v>
      </c>
      <c r="D21" s="4" t="s">
        <v>129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"/>
  <sheetViews>
    <sheetView tabSelected="1" workbookViewId="0">
      <selection activeCell="B21" sqref="B21"/>
    </sheetView>
  </sheetViews>
  <sheetFormatPr defaultRowHeight="14"/>
  <cols>
    <col min="1" max="1" width="22" customWidth="1"/>
    <col min="2" max="2" width="78" customWidth="1"/>
  </cols>
  <sheetData>
    <row r="1" spans="1:26" ht="20" customHeight="1">
      <c r="A1" s="9" t="s">
        <v>0</v>
      </c>
      <c r="B1" s="9"/>
      <c r="C1" s="9"/>
      <c r="D1" s="9"/>
      <c r="E1" s="9"/>
      <c r="F1" s="9"/>
      <c r="G1" s="9"/>
      <c r="H1" s="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1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 t="s">
        <v>3</v>
      </c>
      <c r="B4" s="4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5</v>
      </c>
      <c r="B5" s="4" t="s">
        <v>130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6</v>
      </c>
      <c r="B6" s="4" t="s">
        <v>131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7</v>
      </c>
      <c r="B7" s="4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9</v>
      </c>
      <c r="B8" s="4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11</v>
      </c>
      <c r="B9" s="4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"/>
  <cols>
    <col min="1" max="1" width="10" customWidth="1"/>
    <col min="2" max="2" width="14" customWidth="1"/>
    <col min="3" max="17" width="12" customWidth="1"/>
    <col min="18" max="19" width="20" customWidth="1"/>
  </cols>
  <sheetData>
    <row r="1" spans="1:26" ht="24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1"/>
      <c r="U1" s="1"/>
      <c r="V1" s="1"/>
      <c r="W1" s="1"/>
      <c r="X1" s="1"/>
      <c r="Y1" s="1"/>
      <c r="Z1" s="1"/>
    </row>
    <row r="2" spans="1:26">
      <c r="A2" s="4" t="s">
        <v>32</v>
      </c>
      <c r="B2" s="4" t="s">
        <v>33</v>
      </c>
      <c r="C2" s="5">
        <v>5</v>
      </c>
      <c r="D2" s="5">
        <v>4</v>
      </c>
      <c r="E2" s="5">
        <v>4</v>
      </c>
      <c r="F2" s="5">
        <v>4</v>
      </c>
      <c r="G2" s="5">
        <f t="shared" ref="G2:G13" si="0">SUM(C2:F2)</f>
        <v>17</v>
      </c>
      <c r="H2" s="5">
        <v>3</v>
      </c>
      <c r="I2" s="5">
        <v>4</v>
      </c>
      <c r="J2" s="5">
        <v>5</v>
      </c>
      <c r="K2" s="5">
        <v>5</v>
      </c>
      <c r="L2" s="5">
        <f t="shared" ref="L2:L13" si="1">SUM(H2:K2)</f>
        <v>17</v>
      </c>
      <c r="M2" s="6">
        <f t="shared" ref="M2:M13" si="2">AVERAGE(C2,H2)</f>
        <v>4</v>
      </c>
      <c r="N2" s="6">
        <f t="shared" ref="N2:N13" si="3">AVERAGE(D2,I2)</f>
        <v>4</v>
      </c>
      <c r="O2" s="6">
        <f t="shared" ref="O2:O13" si="4">AVERAGE(E2,J2)</f>
        <v>4.5</v>
      </c>
      <c r="P2" s="6">
        <f t="shared" ref="P2:P13" si="5">AVERAGE(F2,K2)</f>
        <v>4.5</v>
      </c>
      <c r="Q2" s="6">
        <f t="shared" ref="Q2:Q13" si="6">AVERAGE(G2,L2)</f>
        <v>17</v>
      </c>
      <c r="R2" s="7">
        <v>0.63700000000000001</v>
      </c>
      <c r="S2" s="7">
        <v>56.2</v>
      </c>
      <c r="T2" s="1"/>
      <c r="U2" s="1"/>
      <c r="V2" s="1"/>
      <c r="W2" s="1"/>
      <c r="X2" s="1"/>
      <c r="Y2" s="1"/>
      <c r="Z2" s="1"/>
    </row>
    <row r="3" spans="1:26">
      <c r="A3" s="4" t="s">
        <v>34</v>
      </c>
      <c r="B3" s="4" t="s">
        <v>35</v>
      </c>
      <c r="C3" s="5">
        <v>5</v>
      </c>
      <c r="D3" s="5">
        <v>5</v>
      </c>
      <c r="E3" s="5">
        <v>3</v>
      </c>
      <c r="F3" s="5">
        <v>4</v>
      </c>
      <c r="G3" s="5">
        <f t="shared" si="0"/>
        <v>17</v>
      </c>
      <c r="H3" s="5">
        <v>4</v>
      </c>
      <c r="I3" s="5">
        <v>2</v>
      </c>
      <c r="J3" s="5">
        <v>3</v>
      </c>
      <c r="K3" s="5">
        <v>5</v>
      </c>
      <c r="L3" s="5">
        <f t="shared" si="1"/>
        <v>14</v>
      </c>
      <c r="M3" s="6">
        <f t="shared" si="2"/>
        <v>4.5</v>
      </c>
      <c r="N3" s="6">
        <f t="shared" si="3"/>
        <v>3.5</v>
      </c>
      <c r="O3" s="6">
        <f t="shared" si="4"/>
        <v>3</v>
      </c>
      <c r="P3" s="6">
        <f t="shared" si="5"/>
        <v>4.5</v>
      </c>
      <c r="Q3" s="6">
        <f t="shared" si="6"/>
        <v>15.5</v>
      </c>
      <c r="R3" s="7">
        <v>0.65200000000000002</v>
      </c>
      <c r="S3" s="7">
        <v>53.4</v>
      </c>
      <c r="T3" s="1"/>
      <c r="U3" s="1"/>
      <c r="V3" s="1"/>
      <c r="W3" s="1"/>
      <c r="X3" s="1"/>
      <c r="Y3" s="1"/>
      <c r="Z3" s="1"/>
    </row>
    <row r="4" spans="1:26">
      <c r="A4" s="4" t="s">
        <v>36</v>
      </c>
      <c r="B4" s="4" t="s">
        <v>37</v>
      </c>
      <c r="C4" s="5">
        <v>5</v>
      </c>
      <c r="D4" s="5">
        <v>4</v>
      </c>
      <c r="E4" s="5">
        <v>3</v>
      </c>
      <c r="F4" s="5">
        <v>5</v>
      </c>
      <c r="G4" s="5">
        <f t="shared" si="0"/>
        <v>17</v>
      </c>
      <c r="H4" s="5">
        <v>4</v>
      </c>
      <c r="I4" s="5">
        <v>5</v>
      </c>
      <c r="J4" s="5">
        <v>4</v>
      </c>
      <c r="K4" s="5">
        <v>4</v>
      </c>
      <c r="L4" s="5">
        <f t="shared" si="1"/>
        <v>17</v>
      </c>
      <c r="M4" s="6">
        <f t="shared" si="2"/>
        <v>4.5</v>
      </c>
      <c r="N4" s="6">
        <f t="shared" si="3"/>
        <v>4.5</v>
      </c>
      <c r="O4" s="6">
        <f t="shared" si="4"/>
        <v>3.5</v>
      </c>
      <c r="P4" s="6">
        <f t="shared" si="5"/>
        <v>4.5</v>
      </c>
      <c r="Q4" s="6">
        <f t="shared" si="6"/>
        <v>17</v>
      </c>
      <c r="R4" s="7">
        <v>0.63800000000000001</v>
      </c>
      <c r="S4" s="7">
        <v>58.9</v>
      </c>
      <c r="T4" s="1"/>
      <c r="U4" s="1"/>
      <c r="V4" s="1"/>
      <c r="W4" s="1"/>
      <c r="X4" s="1"/>
      <c r="Y4" s="1"/>
      <c r="Z4" s="1"/>
    </row>
    <row r="5" spans="1:26">
      <c r="A5" s="4" t="s">
        <v>38</v>
      </c>
      <c r="B5" s="4" t="s">
        <v>39</v>
      </c>
      <c r="C5" s="5">
        <v>5</v>
      </c>
      <c r="D5" s="5">
        <v>4</v>
      </c>
      <c r="E5" s="5">
        <v>3</v>
      </c>
      <c r="F5" s="5">
        <v>5</v>
      </c>
      <c r="G5" s="5">
        <f t="shared" si="0"/>
        <v>17</v>
      </c>
      <c r="H5" s="5">
        <v>4</v>
      </c>
      <c r="I5" s="5">
        <v>5</v>
      </c>
      <c r="J5" s="5">
        <v>4</v>
      </c>
      <c r="K5" s="5">
        <v>5</v>
      </c>
      <c r="L5" s="5">
        <f t="shared" si="1"/>
        <v>18</v>
      </c>
      <c r="M5" s="6">
        <f t="shared" si="2"/>
        <v>4.5</v>
      </c>
      <c r="N5" s="6">
        <f t="shared" si="3"/>
        <v>4.5</v>
      </c>
      <c r="O5" s="6">
        <f t="shared" si="4"/>
        <v>3.5</v>
      </c>
      <c r="P5" s="6">
        <f t="shared" si="5"/>
        <v>5</v>
      </c>
      <c r="Q5" s="6">
        <f t="shared" si="6"/>
        <v>17.5</v>
      </c>
      <c r="R5" s="7">
        <v>1.7529999999999999</v>
      </c>
      <c r="S5" s="7">
        <v>51.3</v>
      </c>
      <c r="T5" s="1"/>
      <c r="U5" s="1"/>
      <c r="V5" s="1"/>
      <c r="W5" s="1"/>
      <c r="X5" s="1"/>
      <c r="Y5" s="1"/>
      <c r="Z5" s="1"/>
    </row>
    <row r="6" spans="1:26">
      <c r="A6" s="4" t="s">
        <v>40</v>
      </c>
      <c r="B6" s="4" t="s">
        <v>41</v>
      </c>
      <c r="C6" s="5">
        <v>5</v>
      </c>
      <c r="D6" s="5">
        <v>4</v>
      </c>
      <c r="E6" s="5">
        <v>5</v>
      </c>
      <c r="F6" s="5">
        <v>5</v>
      </c>
      <c r="G6" s="5">
        <f t="shared" si="0"/>
        <v>19</v>
      </c>
      <c r="H6" s="5">
        <v>4</v>
      </c>
      <c r="I6" s="5">
        <v>5</v>
      </c>
      <c r="J6" s="5">
        <v>4</v>
      </c>
      <c r="K6" s="5">
        <v>5</v>
      </c>
      <c r="L6" s="5">
        <f t="shared" si="1"/>
        <v>18</v>
      </c>
      <c r="M6" s="6">
        <f t="shared" si="2"/>
        <v>4.5</v>
      </c>
      <c r="N6" s="6">
        <f t="shared" si="3"/>
        <v>4.5</v>
      </c>
      <c r="O6" s="6">
        <f t="shared" si="4"/>
        <v>4.5</v>
      </c>
      <c r="P6" s="6">
        <f t="shared" si="5"/>
        <v>5</v>
      </c>
      <c r="Q6" s="6">
        <f t="shared" si="6"/>
        <v>18.5</v>
      </c>
      <c r="R6" s="7">
        <v>0.69399999999999995</v>
      </c>
      <c r="S6" s="7">
        <v>87.1</v>
      </c>
      <c r="T6" s="1"/>
      <c r="U6" s="1"/>
      <c r="V6" s="1"/>
      <c r="W6" s="1"/>
      <c r="X6" s="1"/>
      <c r="Y6" s="1"/>
      <c r="Z6" s="1"/>
    </row>
    <row r="7" spans="1:26">
      <c r="A7" s="4" t="s">
        <v>42</v>
      </c>
      <c r="B7" s="4" t="s">
        <v>43</v>
      </c>
      <c r="C7" s="5">
        <v>5</v>
      </c>
      <c r="D7" s="5">
        <v>4</v>
      </c>
      <c r="E7" s="5">
        <v>4</v>
      </c>
      <c r="F7" s="5">
        <v>5</v>
      </c>
      <c r="G7" s="5">
        <f t="shared" si="0"/>
        <v>18</v>
      </c>
      <c r="H7" s="5">
        <v>5</v>
      </c>
      <c r="I7" s="5">
        <v>3</v>
      </c>
      <c r="J7" s="5">
        <v>4</v>
      </c>
      <c r="K7" s="5">
        <v>4</v>
      </c>
      <c r="L7" s="5">
        <f t="shared" si="1"/>
        <v>16</v>
      </c>
      <c r="M7" s="6">
        <f t="shared" si="2"/>
        <v>5</v>
      </c>
      <c r="N7" s="6">
        <f t="shared" si="3"/>
        <v>3.5</v>
      </c>
      <c r="O7" s="6">
        <f t="shared" si="4"/>
        <v>4</v>
      </c>
      <c r="P7" s="6">
        <f t="shared" si="5"/>
        <v>4.5</v>
      </c>
      <c r="Q7" s="6">
        <f t="shared" si="6"/>
        <v>17</v>
      </c>
      <c r="R7" s="7">
        <v>0.74099999999999999</v>
      </c>
      <c r="S7" s="7">
        <v>54.2</v>
      </c>
      <c r="T7" s="1"/>
      <c r="U7" s="1"/>
      <c r="V7" s="1"/>
      <c r="W7" s="1"/>
      <c r="X7" s="1"/>
      <c r="Y7" s="1"/>
      <c r="Z7" s="1"/>
    </row>
    <row r="8" spans="1:26">
      <c r="A8" s="4" t="s">
        <v>44</v>
      </c>
      <c r="B8" s="4" t="s">
        <v>45</v>
      </c>
      <c r="C8" s="5">
        <v>5</v>
      </c>
      <c r="D8" s="5">
        <v>5</v>
      </c>
      <c r="E8" s="5">
        <v>3</v>
      </c>
      <c r="F8" s="5">
        <v>3</v>
      </c>
      <c r="G8" s="5">
        <f t="shared" si="0"/>
        <v>16</v>
      </c>
      <c r="H8" s="5">
        <v>3</v>
      </c>
      <c r="I8" s="5">
        <v>5</v>
      </c>
      <c r="J8" s="5">
        <v>2</v>
      </c>
      <c r="K8" s="5">
        <v>3</v>
      </c>
      <c r="L8" s="5">
        <f t="shared" si="1"/>
        <v>13</v>
      </c>
      <c r="M8" s="6">
        <f t="shared" si="2"/>
        <v>4</v>
      </c>
      <c r="N8" s="6">
        <f t="shared" si="3"/>
        <v>5</v>
      </c>
      <c r="O8" s="6">
        <f t="shared" si="4"/>
        <v>2.5</v>
      </c>
      <c r="P8" s="6">
        <f t="shared" si="5"/>
        <v>3</v>
      </c>
      <c r="Q8" s="6">
        <f t="shared" si="6"/>
        <v>14.5</v>
      </c>
      <c r="R8" s="7">
        <v>1.8169999999999999</v>
      </c>
      <c r="S8" s="7">
        <v>161.19999999999999</v>
      </c>
      <c r="T8" s="1"/>
      <c r="U8" s="1"/>
      <c r="V8" s="1"/>
      <c r="W8" s="1"/>
      <c r="X8" s="1"/>
      <c r="Y8" s="1"/>
      <c r="Z8" s="1"/>
    </row>
    <row r="9" spans="1:26">
      <c r="A9" s="4" t="s">
        <v>46</v>
      </c>
      <c r="B9" s="4" t="s">
        <v>47</v>
      </c>
      <c r="C9" s="5">
        <v>5</v>
      </c>
      <c r="D9" s="5">
        <v>5</v>
      </c>
      <c r="E9" s="5">
        <v>2</v>
      </c>
      <c r="F9" s="5">
        <v>3</v>
      </c>
      <c r="G9" s="5">
        <f t="shared" si="0"/>
        <v>15</v>
      </c>
      <c r="H9" s="5">
        <v>4</v>
      </c>
      <c r="I9" s="5">
        <v>4</v>
      </c>
      <c r="J9" s="5">
        <v>1</v>
      </c>
      <c r="K9" s="5">
        <v>3</v>
      </c>
      <c r="L9" s="5">
        <f t="shared" si="1"/>
        <v>12</v>
      </c>
      <c r="M9" s="6">
        <f t="shared" si="2"/>
        <v>4.5</v>
      </c>
      <c r="N9" s="6">
        <f t="shared" si="3"/>
        <v>4.5</v>
      </c>
      <c r="O9" s="6">
        <f t="shared" si="4"/>
        <v>1.5</v>
      </c>
      <c r="P9" s="6">
        <f t="shared" si="5"/>
        <v>3</v>
      </c>
      <c r="Q9" s="6">
        <f t="shared" si="6"/>
        <v>13.5</v>
      </c>
      <c r="R9" s="7">
        <v>1.125</v>
      </c>
      <c r="S9" s="7">
        <v>63.9</v>
      </c>
      <c r="T9" s="1"/>
      <c r="U9" s="1"/>
      <c r="V9" s="1"/>
      <c r="W9" s="1"/>
      <c r="X9" s="1"/>
      <c r="Y9" s="1"/>
      <c r="Z9" s="1"/>
    </row>
    <row r="10" spans="1:26">
      <c r="A10" s="4" t="s">
        <v>48</v>
      </c>
      <c r="B10" s="4" t="s">
        <v>49</v>
      </c>
      <c r="C10" s="5">
        <v>5</v>
      </c>
      <c r="D10" s="5">
        <v>5</v>
      </c>
      <c r="E10" s="5">
        <v>5</v>
      </c>
      <c r="F10" s="5">
        <v>5</v>
      </c>
      <c r="G10" s="5">
        <f t="shared" si="0"/>
        <v>20</v>
      </c>
      <c r="H10" s="5">
        <v>4</v>
      </c>
      <c r="I10" s="5">
        <v>5</v>
      </c>
      <c r="J10" s="5">
        <v>5</v>
      </c>
      <c r="K10" s="5">
        <v>4</v>
      </c>
      <c r="L10" s="5">
        <f t="shared" si="1"/>
        <v>18</v>
      </c>
      <c r="M10" s="6">
        <f t="shared" si="2"/>
        <v>4.5</v>
      </c>
      <c r="N10" s="6">
        <f t="shared" si="3"/>
        <v>5</v>
      </c>
      <c r="O10" s="6">
        <f t="shared" si="4"/>
        <v>5</v>
      </c>
      <c r="P10" s="6">
        <f t="shared" si="5"/>
        <v>4.5</v>
      </c>
      <c r="Q10" s="6">
        <f t="shared" si="6"/>
        <v>19</v>
      </c>
      <c r="R10" s="7">
        <v>0.79900000000000004</v>
      </c>
      <c r="S10" s="7">
        <v>58</v>
      </c>
      <c r="T10" s="1"/>
      <c r="U10" s="1"/>
      <c r="V10" s="1"/>
      <c r="W10" s="1"/>
      <c r="X10" s="1"/>
      <c r="Y10" s="1"/>
      <c r="Z10" s="1"/>
    </row>
    <row r="11" spans="1:26">
      <c r="A11" s="4" t="s">
        <v>50</v>
      </c>
      <c r="B11" s="4" t="s">
        <v>51</v>
      </c>
      <c r="C11" s="5">
        <v>5</v>
      </c>
      <c r="D11" s="5">
        <v>3</v>
      </c>
      <c r="E11" s="5">
        <v>4</v>
      </c>
      <c r="F11" s="5">
        <v>3</v>
      </c>
      <c r="G11" s="5">
        <f t="shared" si="0"/>
        <v>15</v>
      </c>
      <c r="H11" s="5">
        <v>4</v>
      </c>
      <c r="I11" s="5">
        <v>4</v>
      </c>
      <c r="J11" s="5">
        <v>4</v>
      </c>
      <c r="K11" s="5">
        <v>3</v>
      </c>
      <c r="L11" s="5">
        <f t="shared" si="1"/>
        <v>15</v>
      </c>
      <c r="M11" s="6">
        <f t="shared" si="2"/>
        <v>4.5</v>
      </c>
      <c r="N11" s="6">
        <f t="shared" si="3"/>
        <v>3.5</v>
      </c>
      <c r="O11" s="6">
        <f t="shared" si="4"/>
        <v>4</v>
      </c>
      <c r="P11" s="6">
        <f t="shared" si="5"/>
        <v>3</v>
      </c>
      <c r="Q11" s="6">
        <f t="shared" si="6"/>
        <v>15</v>
      </c>
      <c r="R11" s="7">
        <v>1.1459999999999999</v>
      </c>
      <c r="S11" s="7">
        <v>58.3</v>
      </c>
      <c r="T11" s="1"/>
      <c r="U11" s="1"/>
      <c r="V11" s="1"/>
      <c r="W11" s="1"/>
      <c r="X11" s="1"/>
      <c r="Y11" s="1"/>
      <c r="Z11" s="1"/>
    </row>
    <row r="12" spans="1:26">
      <c r="A12" s="4" t="s">
        <v>52</v>
      </c>
      <c r="B12" s="4" t="s">
        <v>53</v>
      </c>
      <c r="C12" s="5">
        <v>5</v>
      </c>
      <c r="D12" s="5">
        <v>4</v>
      </c>
      <c r="E12" s="5">
        <v>3</v>
      </c>
      <c r="F12" s="5">
        <v>3</v>
      </c>
      <c r="G12" s="5">
        <f t="shared" si="0"/>
        <v>15</v>
      </c>
      <c r="H12" s="5">
        <v>3</v>
      </c>
      <c r="I12" s="5">
        <v>5</v>
      </c>
      <c r="J12" s="5">
        <v>2</v>
      </c>
      <c r="K12" s="5">
        <v>3</v>
      </c>
      <c r="L12" s="5">
        <f t="shared" si="1"/>
        <v>13</v>
      </c>
      <c r="M12" s="6">
        <f t="shared" si="2"/>
        <v>4</v>
      </c>
      <c r="N12" s="6">
        <f t="shared" si="3"/>
        <v>4.5</v>
      </c>
      <c r="O12" s="6">
        <f t="shared" si="4"/>
        <v>2.5</v>
      </c>
      <c r="P12" s="6">
        <f t="shared" si="5"/>
        <v>3</v>
      </c>
      <c r="Q12" s="6">
        <f t="shared" si="6"/>
        <v>14</v>
      </c>
      <c r="R12" s="7">
        <v>0.76300000000000001</v>
      </c>
      <c r="S12" s="7">
        <v>66.599999999999994</v>
      </c>
      <c r="T12" s="1"/>
      <c r="U12" s="1"/>
      <c r="V12" s="1"/>
      <c r="W12" s="1"/>
      <c r="X12" s="1"/>
      <c r="Y12" s="1"/>
      <c r="Z12" s="1"/>
    </row>
    <row r="13" spans="1:26">
      <c r="A13" s="4" t="s">
        <v>54</v>
      </c>
      <c r="B13" s="4" t="s">
        <v>55</v>
      </c>
      <c r="C13" s="5">
        <v>5</v>
      </c>
      <c r="D13" s="5">
        <v>4</v>
      </c>
      <c r="E13" s="5">
        <v>4</v>
      </c>
      <c r="F13" s="5">
        <v>3</v>
      </c>
      <c r="G13" s="5">
        <f t="shared" si="0"/>
        <v>16</v>
      </c>
      <c r="H13" s="5">
        <v>4</v>
      </c>
      <c r="I13" s="5">
        <v>2</v>
      </c>
      <c r="J13" s="5">
        <v>4</v>
      </c>
      <c r="K13" s="5">
        <v>3</v>
      </c>
      <c r="L13" s="5">
        <f t="shared" si="1"/>
        <v>13</v>
      </c>
      <c r="M13" s="6">
        <f t="shared" si="2"/>
        <v>4.5</v>
      </c>
      <c r="N13" s="6">
        <f t="shared" si="3"/>
        <v>3</v>
      </c>
      <c r="O13" s="6">
        <f t="shared" si="4"/>
        <v>4</v>
      </c>
      <c r="P13" s="6">
        <f t="shared" si="5"/>
        <v>3</v>
      </c>
      <c r="Q13" s="6">
        <f t="shared" si="6"/>
        <v>14.5</v>
      </c>
      <c r="R13" s="7">
        <v>2.2330000000000001</v>
      </c>
      <c r="S13" s="7">
        <v>182.8</v>
      </c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sqref="A1:H1"/>
    </sheetView>
  </sheetViews>
  <sheetFormatPr defaultRowHeight="14"/>
  <cols>
    <col min="1" max="1" width="34" customWidth="1"/>
    <col min="2" max="2" width="18" customWidth="1"/>
    <col min="3" max="8" width="16" customWidth="1"/>
  </cols>
  <sheetData>
    <row r="1" spans="1:26" ht="18.649999999999999" customHeight="1">
      <c r="A1" s="10" t="s">
        <v>56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 t="s">
        <v>65</v>
      </c>
      <c r="B4" s="4">
        <v>4.42</v>
      </c>
      <c r="C4" s="4">
        <v>4.42</v>
      </c>
      <c r="D4" s="4">
        <v>0.28999999999999998</v>
      </c>
      <c r="E4" s="4" t="s">
        <v>66</v>
      </c>
      <c r="F4" s="4">
        <v>1.17</v>
      </c>
      <c r="G4" s="4" t="s">
        <v>67</v>
      </c>
      <c r="H4" s="4" t="s">
        <v>68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69</v>
      </c>
      <c r="B5" s="4">
        <v>4.17</v>
      </c>
      <c r="C5" s="4">
        <v>4.17</v>
      </c>
      <c r="D5" s="4">
        <v>0.65</v>
      </c>
      <c r="E5" s="4" t="s">
        <v>70</v>
      </c>
      <c r="F5" s="4">
        <v>1</v>
      </c>
      <c r="G5" s="4">
        <v>-0.04</v>
      </c>
      <c r="H5" s="4" t="s">
        <v>68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71</v>
      </c>
      <c r="B6" s="4">
        <v>3.54</v>
      </c>
      <c r="C6" s="4">
        <v>3.54</v>
      </c>
      <c r="D6" s="4">
        <v>1.01</v>
      </c>
      <c r="E6" s="4" t="s">
        <v>72</v>
      </c>
      <c r="F6" s="4">
        <v>0.57999999999999996</v>
      </c>
      <c r="G6" s="4">
        <v>0.49</v>
      </c>
      <c r="H6" s="4" t="s">
        <v>68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73</v>
      </c>
      <c r="B7" s="4">
        <v>3.96</v>
      </c>
      <c r="C7" s="4">
        <v>3.96</v>
      </c>
      <c r="D7" s="4">
        <v>0.86</v>
      </c>
      <c r="E7" s="4" t="s">
        <v>70</v>
      </c>
      <c r="F7" s="4">
        <v>0.42</v>
      </c>
      <c r="G7" s="4">
        <v>0.56999999999999995</v>
      </c>
      <c r="H7" s="4" t="s">
        <v>68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74</v>
      </c>
      <c r="B9" s="4">
        <v>16.079999999999998</v>
      </c>
      <c r="C9" s="4">
        <v>16.079999999999998</v>
      </c>
      <c r="D9" s="4">
        <v>1.82</v>
      </c>
      <c r="E9" s="4" t="s">
        <v>75</v>
      </c>
      <c r="F9" s="4" t="s">
        <v>76</v>
      </c>
      <c r="G9" s="4" t="s">
        <v>76</v>
      </c>
      <c r="H9" s="4" t="s">
        <v>68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 t="s">
        <v>77</v>
      </c>
      <c r="B11" s="2" t="s">
        <v>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79</v>
      </c>
      <c r="B12" s="1">
        <v>16.829999999999998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80</v>
      </c>
      <c r="B13" s="1">
        <v>15.33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81</v>
      </c>
      <c r="B14" s="1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 t="s">
        <v>82</v>
      </c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83</v>
      </c>
      <c r="B17" s="11" t="s">
        <v>84</v>
      </c>
      <c r="C17" s="11"/>
      <c r="D17" s="11"/>
      <c r="E17" s="11"/>
      <c r="F17" s="11"/>
      <c r="G17" s="11"/>
      <c r="H17" s="1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8" t="s">
        <v>85</v>
      </c>
      <c r="B18" s="11" t="s">
        <v>86</v>
      </c>
      <c r="C18" s="11"/>
      <c r="D18" s="11"/>
      <c r="E18" s="11"/>
      <c r="F18" s="11"/>
      <c r="G18" s="11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3">
    <mergeCell ref="A1:H1"/>
    <mergeCell ref="B17:H17"/>
    <mergeCell ref="B18:H18"/>
  </mergeCells>
  <conditionalFormatting sqref="H4:H9">
    <cfRule type="expression" dxfId="0" priority="1">
      <formula>H4="Matches"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"/>
  <cols>
    <col min="1" max="1" width="10" customWidth="1"/>
    <col min="2" max="2" width="14" customWidth="1"/>
    <col min="3" max="3" width="12" customWidth="1"/>
    <col min="4" max="4" width="80" customWidth="1"/>
  </cols>
  <sheetData>
    <row r="1" spans="1:26">
      <c r="A1" s="3" t="s">
        <v>13</v>
      </c>
      <c r="B1" s="3" t="s">
        <v>14</v>
      </c>
      <c r="C1" s="3" t="s">
        <v>57</v>
      </c>
      <c r="D1" s="3" t="s">
        <v>87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4" t="s">
        <v>32</v>
      </c>
      <c r="B2" s="4" t="s">
        <v>33</v>
      </c>
      <c r="C2" s="4" t="s">
        <v>88</v>
      </c>
      <c r="D2" s="4" t="s">
        <v>89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 t="s">
        <v>34</v>
      </c>
      <c r="B3" s="4" t="s">
        <v>35</v>
      </c>
      <c r="C3" s="4" t="s">
        <v>88</v>
      </c>
      <c r="D3" s="4" t="s">
        <v>90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 t="s">
        <v>36</v>
      </c>
      <c r="B4" s="4" t="s">
        <v>37</v>
      </c>
      <c r="C4" s="4" t="s">
        <v>91</v>
      </c>
      <c r="D4" s="4" t="s">
        <v>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36</v>
      </c>
      <c r="B5" s="4" t="s">
        <v>37</v>
      </c>
      <c r="C5" s="4" t="s">
        <v>88</v>
      </c>
      <c r="D5" s="4" t="s">
        <v>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38</v>
      </c>
      <c r="B6" s="4" t="s">
        <v>39</v>
      </c>
      <c r="C6" s="4" t="s">
        <v>88</v>
      </c>
      <c r="D6" s="4" t="s">
        <v>94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40</v>
      </c>
      <c r="B7" s="4" t="s">
        <v>41</v>
      </c>
      <c r="C7" s="4" t="s">
        <v>91</v>
      </c>
      <c r="D7" s="4" t="s">
        <v>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44</v>
      </c>
      <c r="B8" s="4" t="s">
        <v>45</v>
      </c>
      <c r="C8" s="4" t="s">
        <v>88</v>
      </c>
      <c r="D8" s="4" t="s">
        <v>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44</v>
      </c>
      <c r="B9" s="4" t="s">
        <v>45</v>
      </c>
      <c r="C9" s="4" t="s">
        <v>97</v>
      </c>
      <c r="D9" s="4" t="s">
        <v>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 t="s">
        <v>46</v>
      </c>
      <c r="B10" s="4" t="s">
        <v>47</v>
      </c>
      <c r="C10" s="4" t="s">
        <v>88</v>
      </c>
      <c r="D10" s="4" t="s">
        <v>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 t="s">
        <v>46</v>
      </c>
      <c r="B11" s="4" t="s">
        <v>47</v>
      </c>
      <c r="C11" s="4" t="s">
        <v>97</v>
      </c>
      <c r="D11" s="4" t="s">
        <v>100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50</v>
      </c>
      <c r="B12" s="4" t="s">
        <v>51</v>
      </c>
      <c r="C12" s="4" t="s">
        <v>88</v>
      </c>
      <c r="D12" s="4" t="s">
        <v>101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50</v>
      </c>
      <c r="B13" s="4" t="s">
        <v>51</v>
      </c>
      <c r="C13" s="4" t="s">
        <v>97</v>
      </c>
      <c r="D13" s="4" t="s">
        <v>100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 t="s">
        <v>52</v>
      </c>
      <c r="B14" s="4" t="s">
        <v>53</v>
      </c>
      <c r="C14" s="4" t="s">
        <v>88</v>
      </c>
      <c r="D14" s="4" t="s">
        <v>102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 t="s">
        <v>52</v>
      </c>
      <c r="B15" s="4" t="s">
        <v>53</v>
      </c>
      <c r="C15" s="4" t="s">
        <v>97</v>
      </c>
      <c r="D15" s="4" t="s">
        <v>100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 t="s">
        <v>54</v>
      </c>
      <c r="B16" s="4" t="s">
        <v>55</v>
      </c>
      <c r="C16" s="4" t="s">
        <v>97</v>
      </c>
      <c r="D16" s="4" t="s">
        <v>100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Rubric </vt:lpstr>
      <vt:lpstr>README</vt:lpstr>
      <vt:lpstr>Ratings</vt:lpstr>
      <vt:lpstr>Summary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Fatimah Alali</cp:lastModifiedBy>
  <dcterms:modified xsi:type="dcterms:W3CDTF">2026-07-14T20:43:29Z</dcterms:modified>
</cp:coreProperties>
</file>